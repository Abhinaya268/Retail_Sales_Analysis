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HINAYA SRI\Desktop\Retail_Sales_Analysis\dashboard\"/>
    </mc:Choice>
  </mc:AlternateContent>
  <xr:revisionPtr revIDLastSave="0" documentId="8_{05EE3BA6-E1C1-440B-8A84-6BCA22572867}" xr6:coauthVersionLast="47" xr6:coauthVersionMax="47" xr10:uidLastSave="{00000000-0000-0000-0000-000000000000}"/>
  <bookViews>
    <workbookView xWindow="1520" yWindow="1380" windowWidth="13930" windowHeight="9420" xr2:uid="{BA2D9734-A9FE-4A0D-9409-93F9BF9220BF}"/>
  </bookViews>
  <sheets>
    <sheet name="Dashboard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1" l="1"/>
  <c r="B6" i="1"/>
  <c r="B5" i="1"/>
  <c r="B9" i="1" s="1"/>
  <c r="B4" i="1"/>
  <c r="B8" i="1" s="1"/>
</calcChain>
</file>

<file path=xl/sharedStrings.xml><?xml version="1.0" encoding="utf-8"?>
<sst xmlns="http://schemas.openxmlformats.org/spreadsheetml/2006/main" count="9" uniqueCount="9">
  <si>
    <t>RETAIL SALES ANALYSIS DASHBOARD</t>
  </si>
  <si>
    <t>KPI</t>
  </si>
  <si>
    <t>Value</t>
  </si>
  <si>
    <t>Total Sales</t>
  </si>
  <si>
    <t>Total Profit</t>
  </si>
  <si>
    <t>Total Orders</t>
  </si>
  <si>
    <t>Total Quantity</t>
  </si>
  <si>
    <t>Average Order Value</t>
  </si>
  <si>
    <t>Profit 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</si>
</sst>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2" borderId="0" xfId="0" applyFont="1" applyFill="1"/>
    <xf numFmtId="164" fontId="1" fillId="0" borderId="0" xfId="0" applyNumberFormat="1" applyFont="1"/>
    <xf numFmtId="0" fontId="1" fillId="0" borderId="0" xfId="0" applyFont="1"/>
    <xf numFmtId="10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Central</c:v>
              </c:pt>
              <c:pt idx="1">
                <c:v>East</c:v>
              </c:pt>
              <c:pt idx="2">
                <c:v>South</c:v>
              </c:pt>
              <c:pt idx="3">
                <c:v>West</c:v>
              </c:pt>
            </c:strLit>
          </c:cat>
          <c:val>
            <c:numLit>
              <c:formatCode>General</c:formatCode>
              <c:ptCount val="4"/>
              <c:pt idx="0">
                <c:v>501239.89080000052</c:v>
              </c:pt>
              <c:pt idx="1">
                <c:v>678781.2399999979</c:v>
              </c:pt>
              <c:pt idx="2">
                <c:v>391721.90500000032</c:v>
              </c:pt>
              <c:pt idx="3">
                <c:v>725457.82450000057</c:v>
              </c:pt>
            </c:numLit>
          </c:val>
          <c:extLst>
            <c:ext xmlns:c16="http://schemas.microsoft.com/office/drawing/2014/chart" uri="{C3380CC4-5D6E-409C-BE32-E72D297353CC}">
              <c16:uniqueId val="{00000000-C9F5-43B8-97B9-A92753EE85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75506239"/>
        <c:axId val="35459440"/>
      </c:barChart>
      <c:catAx>
        <c:axId val="1875506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459440"/>
        <c:crosses val="autoZero"/>
        <c:auto val="1"/>
        <c:lblAlgn val="ctr"/>
        <c:lblOffset val="100"/>
        <c:noMultiLvlLbl val="0"/>
      </c:catAx>
      <c:valAx>
        <c:axId val="35459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55062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Total Profit by Discount Level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0%</c:v>
              </c:pt>
              <c:pt idx="1">
                <c:v>10%</c:v>
              </c:pt>
              <c:pt idx="2">
                <c:v>15%</c:v>
              </c:pt>
              <c:pt idx="3">
                <c:v>20%</c:v>
              </c:pt>
              <c:pt idx="4">
                <c:v>30%</c:v>
              </c:pt>
              <c:pt idx="5">
                <c:v>32%</c:v>
              </c:pt>
              <c:pt idx="6">
                <c:v>40%</c:v>
              </c:pt>
              <c:pt idx="7">
                <c:v>45%</c:v>
              </c:pt>
              <c:pt idx="8">
                <c:v>50%</c:v>
              </c:pt>
              <c:pt idx="9">
                <c:v>60%</c:v>
              </c:pt>
              <c:pt idx="10">
                <c:v>70%</c:v>
              </c:pt>
              <c:pt idx="11">
                <c:v>80%</c:v>
              </c:pt>
            </c:strLit>
          </c:cat>
          <c:val>
            <c:numLit>
              <c:formatCode>General</c:formatCode>
              <c:ptCount val="12"/>
              <c:pt idx="0">
                <c:v>320987.60319999978</c:v>
              </c:pt>
              <c:pt idx="1">
                <c:v>9029.1769999999979</c:v>
              </c:pt>
              <c:pt idx="2">
                <c:v>1418.9915000000001</c:v>
              </c:pt>
              <c:pt idx="3">
                <c:v>90337.306000000041</c:v>
              </c:pt>
              <c:pt idx="4">
                <c:v>-10369.277399999997</c:v>
              </c:pt>
              <c:pt idx="5">
                <c:v>-2391.1377000000007</c:v>
              </c:pt>
              <c:pt idx="6">
                <c:v>-23057.050400000011</c:v>
              </c:pt>
              <c:pt idx="7">
                <c:v>-2493.1111000000001</c:v>
              </c:pt>
              <c:pt idx="8">
                <c:v>-20506.428099999997</c:v>
              </c:pt>
              <c:pt idx="9">
                <c:v>-5944.655200000002</c:v>
              </c:pt>
              <c:pt idx="10">
                <c:v>-40075.356899999955</c:v>
              </c:pt>
              <c:pt idx="11">
                <c:v>-30539.039199999985</c:v>
              </c:pt>
            </c:numLit>
          </c:val>
          <c:extLst>
            <c:ext xmlns:c16="http://schemas.microsoft.com/office/drawing/2014/chart" uri="{C3380CC4-5D6E-409C-BE32-E72D297353CC}">
              <c16:uniqueId val="{00000000-861D-43EC-92B9-4D5526238F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7982880"/>
        <c:axId val="35444560"/>
      </c:barChart>
      <c:catAx>
        <c:axId val="217982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444560"/>
        <c:crosses val="autoZero"/>
        <c:auto val="1"/>
        <c:lblAlgn val="ctr"/>
        <c:lblOffset val="100"/>
        <c:noMultiLvlLbl val="0"/>
      </c:catAx>
      <c:valAx>
        <c:axId val="35444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7982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Profit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Furniture</c:v>
              </c:pt>
              <c:pt idx="1">
                <c:v>Office Supplies</c:v>
              </c:pt>
              <c:pt idx="2">
                <c:v>Technology</c:v>
              </c:pt>
            </c:strLit>
          </c:cat>
          <c:val>
            <c:numLit>
              <c:formatCode>General</c:formatCode>
              <c:ptCount val="3"/>
              <c:pt idx="0">
                <c:v>18451.272799999999</c:v>
              </c:pt>
              <c:pt idx="1">
                <c:v>122490.80080000011</c:v>
              </c:pt>
              <c:pt idx="2">
                <c:v>145454.94809999989</c:v>
              </c:pt>
            </c:numLit>
          </c:val>
          <c:extLst>
            <c:ext xmlns:c16="http://schemas.microsoft.com/office/drawing/2014/chart" uri="{C3380CC4-5D6E-409C-BE32-E72D297353CC}">
              <c16:uniqueId val="{00000000-C325-47E2-B211-A284246B6D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992832"/>
        <c:axId val="35532880"/>
      </c:barChart>
      <c:catAx>
        <c:axId val="45992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532880"/>
        <c:crosses val="autoZero"/>
        <c:auto val="1"/>
        <c:lblAlgn val="ctr"/>
        <c:lblOffset val="100"/>
        <c:noMultiLvlLbl val="0"/>
      </c:catAx>
      <c:valAx>
        <c:axId val="35532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992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Total Sales by Sub-Category</a:t>
            </a:r>
            <a:r>
              <a:rPr lang="en-US"/>
              <a:t>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7"/>
              <c:pt idx="0">
                <c:v>Accessories</c:v>
              </c:pt>
              <c:pt idx="1">
                <c:v>Appliances</c:v>
              </c:pt>
              <c:pt idx="2">
                <c:v>Art</c:v>
              </c:pt>
              <c:pt idx="3">
                <c:v>Binders</c:v>
              </c:pt>
              <c:pt idx="4">
                <c:v>Bookcases</c:v>
              </c:pt>
              <c:pt idx="5">
                <c:v>Chairs</c:v>
              </c:pt>
              <c:pt idx="6">
                <c:v>Copiers</c:v>
              </c:pt>
              <c:pt idx="7">
                <c:v>Envelopes</c:v>
              </c:pt>
              <c:pt idx="8">
                <c:v>Fasteners</c:v>
              </c:pt>
              <c:pt idx="9">
                <c:v>Furnishings</c:v>
              </c:pt>
              <c:pt idx="10">
                <c:v>Labels</c:v>
              </c:pt>
              <c:pt idx="11">
                <c:v>Machines</c:v>
              </c:pt>
              <c:pt idx="12">
                <c:v>Paper</c:v>
              </c:pt>
              <c:pt idx="13">
                <c:v>Phones</c:v>
              </c:pt>
              <c:pt idx="14">
                <c:v>Storage</c:v>
              </c:pt>
              <c:pt idx="15">
                <c:v>Supplies</c:v>
              </c:pt>
              <c:pt idx="16">
                <c:v>Tables</c:v>
              </c:pt>
            </c:strLit>
          </c:cat>
          <c:val>
            <c:numLit>
              <c:formatCode>General</c:formatCode>
              <c:ptCount val="17"/>
              <c:pt idx="0">
                <c:v>167380.31800000009</c:v>
              </c:pt>
              <c:pt idx="1">
                <c:v>107532.16099999999</c:v>
              </c:pt>
              <c:pt idx="2">
                <c:v>27118.791999999954</c:v>
              </c:pt>
              <c:pt idx="3">
                <c:v>203412.73300000009</c:v>
              </c:pt>
              <c:pt idx="4">
                <c:v>114879.99629999997</c:v>
              </c:pt>
              <c:pt idx="5">
                <c:v>328449.10300000076</c:v>
              </c:pt>
              <c:pt idx="6">
                <c:v>149528.02999999994</c:v>
              </c:pt>
              <c:pt idx="7">
                <c:v>16476.401999999998</c:v>
              </c:pt>
              <c:pt idx="8">
                <c:v>3024.2799999999997</c:v>
              </c:pt>
              <c:pt idx="9">
                <c:v>91705.164000000048</c:v>
              </c:pt>
              <c:pt idx="10">
                <c:v>12486.312</c:v>
              </c:pt>
              <c:pt idx="11">
                <c:v>189238.63099999996</c:v>
              </c:pt>
              <c:pt idx="12">
                <c:v>78479.20600000002</c:v>
              </c:pt>
              <c:pt idx="13">
                <c:v>330007.05400000012</c:v>
              </c:pt>
              <c:pt idx="14">
                <c:v>223843.60800000012</c:v>
              </c:pt>
              <c:pt idx="15">
                <c:v>46673.538000000015</c:v>
              </c:pt>
              <c:pt idx="16">
                <c:v>206965.53200000009</c:v>
              </c:pt>
            </c:numLit>
          </c:val>
          <c:extLst>
            <c:ext xmlns:c16="http://schemas.microsoft.com/office/drawing/2014/chart" uri="{C3380CC4-5D6E-409C-BE32-E72D297353CC}">
              <c16:uniqueId val="{00000000-99A9-4BFD-B810-F20F67A118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75424319"/>
        <c:axId val="35480560"/>
      </c:barChart>
      <c:catAx>
        <c:axId val="1875424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480560"/>
        <c:crosses val="autoZero"/>
        <c:auto val="1"/>
        <c:lblAlgn val="ctr"/>
        <c:lblOffset val="100"/>
        <c:noMultiLvlLbl val="0"/>
      </c:catAx>
      <c:valAx>
        <c:axId val="35480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54243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2309</xdr:colOff>
      <xdr:row>1</xdr:row>
      <xdr:rowOff>187035</xdr:rowOff>
    </xdr:from>
    <xdr:to>
      <xdr:col>12</xdr:col>
      <xdr:colOff>14431</xdr:colOff>
      <xdr:row>20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493D57E-BCAA-4E7D-AE9B-82C7EE1BC8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591704</xdr:colOff>
      <xdr:row>23</xdr:row>
      <xdr:rowOff>14432</xdr:rowOff>
    </xdr:from>
    <xdr:to>
      <xdr:col>22</xdr:col>
      <xdr:colOff>28464</xdr:colOff>
      <xdr:row>42</xdr:row>
      <xdr:rowOff>144318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8C146F8-022A-4171-B77D-B9030AB0BC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14432</xdr:colOff>
      <xdr:row>23</xdr:row>
      <xdr:rowOff>43295</xdr:rowOff>
    </xdr:from>
    <xdr:to>
      <xdr:col>12</xdr:col>
      <xdr:colOff>28863</xdr:colOff>
      <xdr:row>43</xdr:row>
      <xdr:rowOff>-1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65F8A56-CC66-4081-9142-2A0AAF5442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14431</xdr:colOff>
      <xdr:row>1</xdr:row>
      <xdr:rowOff>181262</xdr:rowOff>
    </xdr:from>
    <xdr:to>
      <xdr:col>21</xdr:col>
      <xdr:colOff>591703</xdr:colOff>
      <xdr:row>19</xdr:row>
      <xdr:rowOff>173180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5AAE651-354D-4FCD-AD0F-9840E741B2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excel/Retail_Sales_Cleaned.xlsx" TargetMode="External"/><Relationship Id="rId2" Type="http://schemas.openxmlformats.org/officeDocument/2006/relationships/externalLinkPath" Target="file:///C:\Users\ABHINAYA%20SRI\Desktop\Retail_Sales_Analysis\excel\Retail_Sales_Cleaned.xlsx" TargetMode="External"/><Relationship Id="rId1" Type="http://schemas.openxmlformats.org/officeDocument/2006/relationships/externalLinkPath" Target="/Users/ABHINAYA%20SRI/Desktop/Retail_Sales_Analysis/excel/Retail_Sales_Clean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Dashboard"/>
      <sheetName val="Sales Analysis"/>
      <sheetName val="Sheet2"/>
      <sheetName val="Sheet1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ABAC8-49EB-4C79-8580-424DE247A1B8}">
  <dimension ref="A1:B11"/>
  <sheetViews>
    <sheetView showGridLines="0" tabSelected="1" zoomScale="46" workbookViewId="0">
      <selection activeCell="B26" sqref="B26"/>
    </sheetView>
  </sheetViews>
  <sheetFormatPr defaultRowHeight="14.5" x14ac:dyDescent="0.35"/>
  <cols>
    <col min="1" max="1" width="18.90625" customWidth="1"/>
    <col min="2" max="2" width="18.26953125" bestFit="1" customWidth="1"/>
  </cols>
  <sheetData>
    <row r="1" spans="1:2" ht="26" x14ac:dyDescent="0.6">
      <c r="A1" s="1" t="s">
        <v>0</v>
      </c>
    </row>
    <row r="3" spans="1:2" ht="18.5" x14ac:dyDescent="0.45">
      <c r="A3" s="2" t="s">
        <v>1</v>
      </c>
      <c r="B3" s="2" t="s">
        <v>2</v>
      </c>
    </row>
    <row r="4" spans="1:2" x14ac:dyDescent="0.35">
      <c r="A4" s="3" t="s">
        <v>3</v>
      </c>
      <c r="B4" s="3">
        <f>SUM([1]!SalesData[Sales])</f>
        <v>2297200.8602999551</v>
      </c>
    </row>
    <row r="5" spans="1:2" x14ac:dyDescent="0.35">
      <c r="A5" s="4" t="s">
        <v>4</v>
      </c>
      <c r="B5" s="3">
        <f>SUM([1]!SalesData[Profit])</f>
        <v>286397.02170000132</v>
      </c>
    </row>
    <row r="6" spans="1:2" x14ac:dyDescent="0.35">
      <c r="A6" s="4" t="s">
        <v>5</v>
      </c>
      <c r="B6" s="4">
        <f>COUNTA(_xlfn.UNIQUE([1]!SalesData[Order ID]))</f>
        <v>5009</v>
      </c>
    </row>
    <row r="7" spans="1:2" x14ac:dyDescent="0.35">
      <c r="A7" s="4" t="s">
        <v>6</v>
      </c>
      <c r="B7" s="4">
        <f>SUM([1]!SalesData[Quantity])</f>
        <v>37873</v>
      </c>
    </row>
    <row r="8" spans="1:2" x14ac:dyDescent="0.35">
      <c r="A8" s="4" t="s">
        <v>7</v>
      </c>
      <c r="B8" s="3">
        <f>B4/B6</f>
        <v>458.61466566179979</v>
      </c>
    </row>
    <row r="9" spans="1:2" x14ac:dyDescent="0.35">
      <c r="A9" s="4" t="s">
        <v>8</v>
      </c>
      <c r="B9" s="5">
        <f>B5/B4</f>
        <v>0.12467217240315906</v>
      </c>
    </row>
    <row r="10" spans="1:2" x14ac:dyDescent="0.35">
      <c r="A10" s="4"/>
      <c r="B10" s="4"/>
    </row>
    <row r="11" spans="1:2" x14ac:dyDescent="0.35">
      <c r="A11" s="4"/>
      <c r="B11" s="4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yalabakaabhi@outlook.com</dc:creator>
  <cp:lastModifiedBy>yalabakaabhi@outlook.com</cp:lastModifiedBy>
  <dcterms:created xsi:type="dcterms:W3CDTF">2026-10-11T14:52:45Z</dcterms:created>
  <dcterms:modified xsi:type="dcterms:W3CDTF">2026-10-11T14:53:52Z</dcterms:modified>
</cp:coreProperties>
</file>